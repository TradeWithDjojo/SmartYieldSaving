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" sheetId="1" r:id="rId4"/>
    <sheet state="visible" name="Phase 2" sheetId="2" r:id="rId5"/>
    <sheet state="visible" name="Logs &amp; Phase 3" sheetId="3" r:id="rId6"/>
    <sheet state="visible" name="Min-Max Calculator" sheetId="4" r:id="rId7"/>
  </sheets>
  <definedNames/>
  <calcPr/>
</workbook>
</file>

<file path=xl/sharedStrings.xml><?xml version="1.0" encoding="utf-8"?>
<sst xmlns="http://schemas.openxmlformats.org/spreadsheetml/2006/main" count="136" uniqueCount="98">
  <si>
    <t>Orca Pool - Total Deposit</t>
  </si>
  <si>
    <t>Perp Leverage</t>
  </si>
  <si>
    <t>Buffer (for gas fee)</t>
  </si>
  <si>
    <t>Custom Strategy:
max notional equal pool USDC portion,
SOL Spot = 1.2 x short perp notional</t>
  </si>
  <si>
    <t>Input or Change These Values &gt;&gt;&gt;</t>
  </si>
  <si>
    <t>Orca Pool SOL portion</t>
  </si>
  <si>
    <t>Jup Short Perpetual</t>
  </si>
  <si>
    <t>Max Notional Value</t>
  </si>
  <si>
    <t>SOL Spot</t>
  </si>
  <si>
    <t>Buy Amount</t>
  </si>
  <si>
    <t>Buffer Reserve</t>
  </si>
  <si>
    <t>Phase 1</t>
  </si>
  <si>
    <t>Spot SOL Acquisition (Swap the following amount to SOL via Jupiter)</t>
  </si>
  <si>
    <t>USDC</t>
  </si>
  <si>
    <t>Jupiter Short Perpetual Collateral Amount (Input "You're Paying" field)</t>
  </si>
  <si>
    <t>Steps</t>
  </si>
  <si>
    <t>Swap USDC to SOL</t>
  </si>
  <si>
    <t>Open Short Perpetual</t>
  </si>
  <si>
    <t>Set Leverage to</t>
  </si>
  <si>
    <t>Input You're Paying</t>
  </si>
  <si>
    <t>Create New Pool</t>
  </si>
  <si>
    <t>Set Custom %</t>
  </si>
  <si>
    <t>Input Deposit</t>
  </si>
  <si>
    <t>Short Perp Collateral Amount</t>
  </si>
  <si>
    <t>SOL Spot 
Buy Amount</t>
  </si>
  <si>
    <t>Short</t>
  </si>
  <si>
    <t>Spot</t>
  </si>
  <si>
    <t>Need USDC</t>
  </si>
  <si>
    <t>UP</t>
  </si>
  <si>
    <t>DOWN</t>
  </si>
  <si>
    <t>Date</t>
  </si>
  <si>
    <t>Open Short Perp</t>
  </si>
  <si>
    <t>SOL Hold</t>
  </si>
  <si>
    <t>Short Position</t>
  </si>
  <si>
    <t>Orca Pool</t>
  </si>
  <si>
    <t>TODO (Phase 3)</t>
  </si>
  <si>
    <t>Checklist</t>
  </si>
  <si>
    <t>USDC (Sell)</t>
  </si>
  <si>
    <t>SOL (Buy)</t>
  </si>
  <si>
    <t>USDC (Collateral)</t>
  </si>
  <si>
    <t>Size (Notional)</t>
  </si>
  <si>
    <t>Total</t>
  </si>
  <si>
    <t>Total Collateral</t>
  </si>
  <si>
    <t>Size (Total)</t>
  </si>
  <si>
    <t>Entry (Average)</t>
  </si>
  <si>
    <t>#</t>
  </si>
  <si>
    <t>Min Price</t>
  </si>
  <si>
    <t>Max Price</t>
  </si>
  <si>
    <t>If SOL &gt;= 150</t>
  </si>
  <si>
    <t>Harvest 2nd Pool</t>
  </si>
  <si>
    <t>abort</t>
  </si>
  <si>
    <t>11/19/2025, 8:25:24 AM</t>
  </si>
  <si>
    <t>WD 2nd Pool</t>
  </si>
  <si>
    <t>11/21/2025, 9:52:41 AM</t>
  </si>
  <si>
    <t>Sell SOL</t>
  </si>
  <si>
    <t>Close Short</t>
  </si>
  <si>
    <t>Redo Phase 1</t>
  </si>
  <si>
    <t>If SOL &lt;= 122</t>
  </si>
  <si>
    <t>Haverst 1st Pool</t>
  </si>
  <si>
    <t>done</t>
  </si>
  <si>
    <t>WD 1st Pool</t>
  </si>
  <si>
    <t>pend. (auto TP)</t>
  </si>
  <si>
    <t>Supply SOL - Borrow USDC</t>
  </si>
  <si>
    <t>pool done, hedge yet (swap 31 USDC to SOL, open short 10 USDC)</t>
  </si>
  <si>
    <t>Have Done</t>
  </si>
  <si>
    <t>11/22/2025, 2:48:55 PM</t>
  </si>
  <si>
    <t>Deposit to pool: 50 USDC</t>
  </si>
  <si>
    <t>−38.479598 USDC</t>
  </si>
  <si>
    <t>−0.100823441 SOL</t>
  </si>
  <si>
    <t>-11.15 USDC</t>
  </si>
  <si>
    <t>0.08734828 SOL</t>
  </si>
  <si>
    <t>SOL changed</t>
  </si>
  <si>
    <t>11/22/2025, 3:12:44 PM</t>
  </si>
  <si>
    <t>Harvest 1st Pool</t>
  </si>
  <si>
    <t>0.42025 USDC</t>
  </si>
  <si>
    <t>0.003129659 SOL</t>
  </si>
  <si>
    <t>0.354155209 SOL</t>
  </si>
  <si>
    <t>11/22/2025, 3:23:10 PM</t>
  </si>
  <si>
    <t>Supply 0.8 SOL</t>
  </si>
  <si>
    <t>0.80214428 SOL</t>
  </si>
  <si>
    <t>Borrow USDC</t>
  </si>
  <si>
    <t>50.4829 USDC</t>
  </si>
  <si>
    <t>Earn</t>
  </si>
  <si>
    <t>136.536315 USDC</t>
  </si>
  <si>
    <t>If SOL &gt;= 142
(Bouncing to 
Pool 1 if short 
not TP @ 121.5)</t>
  </si>
  <si>
    <t>WD Earn</t>
  </si>
  <si>
    <t>Repay &amp; WD</t>
  </si>
  <si>
    <t>Add Liq Pool 1</t>
  </si>
  <si>
    <t>If SOL &gt;= 142
(Bouncing to 
Pool 1 after 
short TP @ 121.5)</t>
  </si>
  <si>
    <t>Increase Short</t>
  </si>
  <si>
    <t>Increase SOL</t>
  </si>
  <si>
    <t>If SOL &lt;= 114</t>
  </si>
  <si>
    <t>Haverst 2nd Pool</t>
  </si>
  <si>
    <t>Input Percentage</t>
  </si>
  <si>
    <t>Input Mid Price</t>
  </si>
  <si>
    <t>Input Max Price</t>
  </si>
  <si>
    <t>Mid Price</t>
  </si>
  <si>
    <t>Input Min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</si>
</sst>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sz val="9.0"/>
      <color theme="1"/>
      <name val="Arial"/>
      <scheme val="minor"/>
    </font>
    <font/>
    <font>
      <color theme="1"/>
      <name val="Arial"/>
      <scheme val="minor"/>
    </font>
    <font>
      <i/>
      <color theme="1"/>
      <name val="Arial"/>
    </font>
    <font>
      <b/>
      <sz val="11.0"/>
      <color theme="1"/>
      <name val="Arial"/>
      <scheme val="minor"/>
    </font>
    <font>
      <b/>
      <sz val="10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readingOrder="0" vertical="bottom"/>
    </xf>
    <xf borderId="1" fillId="2" fontId="3" numFmtId="0" xfId="0" applyAlignment="1" applyBorder="1" applyFont="1">
      <alignment readingOrder="0"/>
    </xf>
    <xf borderId="2" fillId="3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horizontal="right" readingOrder="0" vertical="bottom"/>
    </xf>
    <xf borderId="4" fillId="0" fontId="5" numFmtId="0" xfId="0" applyBorder="1" applyFont="1"/>
    <xf borderId="5" fillId="0" fontId="5" numFmtId="0" xfId="0" applyBorder="1" applyFont="1"/>
    <xf borderId="1" fillId="0" fontId="2" numFmtId="0" xfId="0" applyAlignment="1" applyBorder="1" applyFont="1">
      <alignment readingOrder="0" vertical="bottom"/>
    </xf>
    <xf borderId="1" fillId="2" fontId="2" numFmtId="10" xfId="0" applyAlignment="1" applyBorder="1" applyFont="1" applyNumberFormat="1">
      <alignment readingOrder="0" vertical="bottom"/>
    </xf>
    <xf borderId="1" fillId="0" fontId="2" numFmtId="0" xfId="0" applyAlignment="1" applyBorder="1" applyFont="1">
      <alignment horizontal="right" vertical="bottom"/>
    </xf>
    <xf borderId="6" fillId="0" fontId="5" numFmtId="0" xfId="0" applyBorder="1" applyFont="1"/>
    <xf borderId="7" fillId="0" fontId="5" numFmtId="0" xfId="0" applyBorder="1" applyFont="1"/>
    <xf borderId="1" fillId="4" fontId="2" numFmtId="0" xfId="0" applyAlignment="1" applyBorder="1" applyFill="1" applyFont="1">
      <alignment horizontal="right" vertical="bottom"/>
    </xf>
    <xf borderId="1" fillId="3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3" fontId="3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8" fillId="0" fontId="9" numFmtId="0" xfId="0" applyAlignment="1" applyBorder="1" applyFont="1">
      <alignment readingOrder="0"/>
    </xf>
    <xf borderId="9" fillId="0" fontId="5" numFmtId="0" xfId="0" applyBorder="1" applyFont="1"/>
    <xf borderId="10" fillId="0" fontId="5" numFmtId="0" xfId="0" applyBorder="1" applyFont="1"/>
    <xf borderId="1" fillId="5" fontId="3" numFmtId="0" xfId="0" applyBorder="1" applyFill="1" applyFont="1"/>
    <xf borderId="1" fillId="0" fontId="6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3" fontId="3" numFmtId="0" xfId="0" applyBorder="1" applyFont="1"/>
    <xf borderId="1" fillId="0" fontId="6" numFmtId="0" xfId="0" applyBorder="1" applyFont="1"/>
    <xf borderId="1" fillId="4" fontId="3" numFmtId="0" xfId="0" applyBorder="1" applyFont="1"/>
    <xf borderId="11" fillId="0" fontId="3" numFmtId="0" xfId="0" applyAlignment="1" applyBorder="1" applyFont="1">
      <alignment readingOrder="0" vertical="center"/>
    </xf>
    <xf borderId="12" fillId="0" fontId="5" numFmtId="0" xfId="0" applyBorder="1" applyFont="1"/>
    <xf borderId="1" fillId="6" fontId="3" numFmtId="0" xfId="0" applyAlignment="1" applyBorder="1" applyFill="1" applyFont="1">
      <alignment readingOrder="0"/>
    </xf>
    <xf borderId="1" fillId="6" fontId="3" numFmtId="0" xfId="0" applyBorder="1" applyFont="1"/>
    <xf borderId="1" fillId="2" fontId="2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2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5" fontId="2" numFmtId="0" xfId="0" applyAlignment="1" applyBorder="1" applyFont="1">
      <alignment horizontal="right" vertical="bottom"/>
    </xf>
    <xf borderId="0" fillId="0" fontId="3" numFmtId="0" xfId="0" applyAlignment="1" applyFont="1">
      <alignment horizontal="center" readingOrder="0" vertical="center"/>
    </xf>
    <xf borderId="8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11" fillId="0" fontId="3" numFmtId="0" xfId="0" applyAlignment="1" applyBorder="1" applyFont="1">
      <alignment readingOrder="0" vertical="top"/>
    </xf>
    <xf borderId="13" fillId="0" fontId="5" numFmtId="0" xfId="0" applyBorder="1" applyFont="1"/>
    <xf borderId="1" fillId="0" fontId="6" numFmtId="0" xfId="0" applyAlignment="1" applyBorder="1" applyFont="1">
      <alignment readingOrder="0" shrinkToFit="0" wrapText="1"/>
    </xf>
    <xf borderId="11" fillId="0" fontId="4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0" fillId="2" fontId="6" numFmtId="10" xfId="0" applyAlignment="1" applyFont="1" applyNumberFormat="1">
      <alignment readingOrder="0"/>
    </xf>
    <xf borderId="0" fillId="2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6.13"/>
    <col customWidth="1" min="3" max="3" width="22.88"/>
    <col customWidth="1" min="5" max="5" width="15.88"/>
    <col customWidth="1" min="6" max="6" width="16.88"/>
  </cols>
  <sheetData>
    <row r="1">
      <c r="A1" s="1"/>
      <c r="B1" s="1"/>
      <c r="C1" s="2" t="s">
        <v>0</v>
      </c>
      <c r="D1" s="3" t="s">
        <v>1</v>
      </c>
      <c r="E1" s="3" t="s">
        <v>2</v>
      </c>
      <c r="F1" s="4" t="s">
        <v>3</v>
      </c>
      <c r="G1" s="5"/>
      <c r="H1" s="6"/>
    </row>
    <row r="2">
      <c r="A2" s="7" t="s">
        <v>4</v>
      </c>
      <c r="C2" s="2">
        <v>50.0</v>
      </c>
      <c r="D2" s="3">
        <v>2.5</v>
      </c>
      <c r="E2" s="3">
        <v>0.5</v>
      </c>
      <c r="F2" s="8"/>
      <c r="G2" s="9"/>
      <c r="H2" s="6"/>
    </row>
    <row r="3">
      <c r="A3" s="10" t="s">
        <v>5</v>
      </c>
      <c r="B3" s="11">
        <v>0.5</v>
      </c>
      <c r="C3" s="12">
        <f>(B3*C2)</f>
        <v>25</v>
      </c>
      <c r="F3" s="13"/>
      <c r="G3" s="14"/>
      <c r="H3" s="6"/>
    </row>
    <row r="4">
      <c r="A4" s="10" t="s">
        <v>6</v>
      </c>
      <c r="B4" s="10" t="s">
        <v>7</v>
      </c>
      <c r="C4" s="15">
        <f>(0.5*(0.5*C2))</f>
        <v>12.5</v>
      </c>
      <c r="F4" s="10" t="s">
        <v>7</v>
      </c>
      <c r="G4" s="16">
        <f>(1*(0.5*C2))</f>
        <v>25</v>
      </c>
      <c r="H4" s="6"/>
    </row>
    <row r="5">
      <c r="A5" s="17" t="s">
        <v>8</v>
      </c>
      <c r="B5" s="17" t="s">
        <v>9</v>
      </c>
      <c r="C5" s="18">
        <f>(3*C4)</f>
        <v>37.5</v>
      </c>
      <c r="F5" s="17" t="s">
        <v>8</v>
      </c>
      <c r="G5" s="19">
        <f>(1.2*G4)</f>
        <v>30</v>
      </c>
    </row>
    <row r="6">
      <c r="A6" s="17" t="s">
        <v>10</v>
      </c>
      <c r="B6" s="17"/>
      <c r="C6" s="17">
        <f>E2</f>
        <v>0.5</v>
      </c>
      <c r="F6" s="17" t="s">
        <v>10</v>
      </c>
      <c r="G6" s="19">
        <v>0.5</v>
      </c>
    </row>
    <row r="8">
      <c r="A8" s="20" t="s">
        <v>11</v>
      </c>
    </row>
    <row r="9">
      <c r="A9" s="21" t="s">
        <v>12</v>
      </c>
      <c r="B9" s="22"/>
      <c r="C9" s="23"/>
      <c r="D9" s="24">
        <f>sum(C3,C5,C6)</f>
        <v>63</v>
      </c>
      <c r="E9" s="25" t="s">
        <v>13</v>
      </c>
      <c r="F9" s="26"/>
      <c r="G9" s="27">
        <f>sum(C3,G5,G6)</f>
        <v>55.5</v>
      </c>
    </row>
    <row r="10">
      <c r="A10" s="17" t="s">
        <v>14</v>
      </c>
      <c r="B10" s="28"/>
      <c r="C10" s="28"/>
      <c r="D10" s="29">
        <f>(C4/D2)</f>
        <v>5</v>
      </c>
      <c r="E10" s="25" t="s">
        <v>13</v>
      </c>
      <c r="F10" s="26"/>
      <c r="G10" s="27">
        <f>(G4/D2)</f>
        <v>10</v>
      </c>
    </row>
    <row r="12">
      <c r="A12" s="20" t="s">
        <v>15</v>
      </c>
    </row>
    <row r="13">
      <c r="A13" s="17" t="s">
        <v>16</v>
      </c>
      <c r="B13" s="24">
        <f>D9</f>
        <v>63</v>
      </c>
    </row>
    <row r="14">
      <c r="A14" s="30" t="s">
        <v>17</v>
      </c>
      <c r="B14" s="17" t="s">
        <v>18</v>
      </c>
      <c r="C14" s="29">
        <f>D2</f>
        <v>2.5</v>
      </c>
      <c r="F14" s="17" t="s">
        <v>18</v>
      </c>
      <c r="G14" s="27">
        <f>D2</f>
        <v>2.5</v>
      </c>
    </row>
    <row r="15">
      <c r="A15" s="31"/>
      <c r="B15" s="17" t="s">
        <v>19</v>
      </c>
      <c r="C15" s="29">
        <f>D10</f>
        <v>5</v>
      </c>
      <c r="F15" s="17" t="s">
        <v>19</v>
      </c>
      <c r="G15" s="27">
        <f>G10</f>
        <v>10</v>
      </c>
    </row>
    <row r="16">
      <c r="A16" s="30" t="s">
        <v>20</v>
      </c>
      <c r="B16" s="17" t="s">
        <v>21</v>
      </c>
      <c r="C16" s="32">
        <v>7.0</v>
      </c>
      <c r="F16" s="17" t="s">
        <v>21</v>
      </c>
      <c r="G16" s="19">
        <v>7.0</v>
      </c>
    </row>
    <row r="17">
      <c r="A17" s="31"/>
      <c r="B17" s="17" t="s">
        <v>22</v>
      </c>
      <c r="C17" s="33">
        <f>C2</f>
        <v>50</v>
      </c>
      <c r="F17" s="17" t="s">
        <v>22</v>
      </c>
      <c r="G17" s="27">
        <f>C2</f>
        <v>50</v>
      </c>
    </row>
  </sheetData>
  <mergeCells count="5">
    <mergeCell ref="F1:G3"/>
    <mergeCell ref="A2:B2"/>
    <mergeCell ref="A9:C9"/>
    <mergeCell ref="A14:A15"/>
    <mergeCell ref="A16:A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.88"/>
    <col customWidth="1" min="5" max="5" width="15.38"/>
    <col customWidth="1" min="8" max="8" width="2.25"/>
    <col customWidth="1" min="9" max="9" width="21.38"/>
  </cols>
  <sheetData>
    <row r="1">
      <c r="A1" s="1"/>
      <c r="B1" s="1"/>
      <c r="C1" s="1"/>
      <c r="D1" s="1"/>
      <c r="E1" s="34" t="s">
        <v>23</v>
      </c>
      <c r="F1" s="34" t="s">
        <v>24</v>
      </c>
      <c r="G1" s="1"/>
      <c r="H1" s="1"/>
      <c r="I1" s="35"/>
      <c r="J1" s="36"/>
    </row>
    <row r="2">
      <c r="A2" s="7" t="s">
        <v>4</v>
      </c>
      <c r="E2" s="37">
        <v>9.98</v>
      </c>
      <c r="F2" s="37">
        <v>30.0</v>
      </c>
      <c r="G2" s="1"/>
      <c r="H2" s="1"/>
      <c r="I2" s="38"/>
      <c r="J2" s="6"/>
    </row>
    <row r="3">
      <c r="A3" s="1"/>
      <c r="B3" s="39" t="s">
        <v>25</v>
      </c>
      <c r="C3" s="39" t="s">
        <v>26</v>
      </c>
      <c r="D3" s="1"/>
      <c r="E3" s="39" t="s">
        <v>25</v>
      </c>
      <c r="F3" s="39" t="s">
        <v>26</v>
      </c>
      <c r="G3" s="40" t="s">
        <v>27</v>
      </c>
      <c r="H3" s="1"/>
      <c r="I3" s="41"/>
    </row>
    <row r="4">
      <c r="A4" s="42" t="s">
        <v>28</v>
      </c>
      <c r="B4" s="43">
        <v>1.1</v>
      </c>
      <c r="C4" s="43">
        <v>0.9</v>
      </c>
      <c r="D4" s="1"/>
      <c r="E4" s="15">
        <f t="shared" ref="E4:F4" si="1">(E2*B4)</f>
        <v>10.978</v>
      </c>
      <c r="F4" s="44">
        <f t="shared" si="1"/>
        <v>27</v>
      </c>
      <c r="G4" s="12">
        <f t="shared" ref="G4:G5" si="3">sum(E4:F4)</f>
        <v>37.978</v>
      </c>
      <c r="H4" s="1"/>
      <c r="I4" s="38"/>
      <c r="J4" s="6"/>
    </row>
    <row r="5">
      <c r="A5" s="42" t="s">
        <v>29</v>
      </c>
      <c r="B5" s="43">
        <v>0.9</v>
      </c>
      <c r="C5" s="43">
        <v>1.1</v>
      </c>
      <c r="D5" s="1"/>
      <c r="E5" s="15">
        <f t="shared" ref="E5:F5" si="2">(E2*B5)</f>
        <v>8.982</v>
      </c>
      <c r="F5" s="44">
        <f t="shared" si="2"/>
        <v>33</v>
      </c>
      <c r="G5" s="12">
        <f t="shared" si="3"/>
        <v>41.982</v>
      </c>
      <c r="H5" s="1"/>
      <c r="I5" s="38"/>
      <c r="J5" s="6"/>
    </row>
  </sheetData>
  <mergeCells count="1"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1.25"/>
    <col customWidth="1" min="3" max="3" width="13.5"/>
    <col customWidth="1" min="4" max="4" width="2.13"/>
    <col customWidth="1" min="5" max="5" width="14.38"/>
    <col customWidth="1" min="7" max="7" width="2.63"/>
    <col customWidth="1" min="9" max="9" width="2.38"/>
    <col customWidth="1" min="12" max="12" width="13.38"/>
    <col customWidth="1" min="13" max="13" width="2.63"/>
    <col customWidth="1" min="14" max="14" width="4.88"/>
    <col customWidth="1" min="17" max="17" width="2.75"/>
    <col customWidth="1" min="19" max="19" width="15.5"/>
  </cols>
  <sheetData>
    <row r="1">
      <c r="A1" s="45" t="s">
        <v>30</v>
      </c>
      <c r="B1" s="46" t="s">
        <v>16</v>
      </c>
      <c r="C1" s="23"/>
      <c r="E1" s="46" t="s">
        <v>31</v>
      </c>
      <c r="F1" s="23"/>
      <c r="H1" s="47" t="s">
        <v>32</v>
      </c>
      <c r="I1" s="48"/>
      <c r="J1" s="46" t="s">
        <v>33</v>
      </c>
      <c r="K1" s="22"/>
      <c r="L1" s="23"/>
      <c r="N1" s="46" t="s">
        <v>34</v>
      </c>
      <c r="O1" s="22"/>
      <c r="P1" s="23"/>
      <c r="R1" s="46" t="s">
        <v>35</v>
      </c>
      <c r="S1" s="23"/>
      <c r="T1" s="47" t="s">
        <v>36</v>
      </c>
    </row>
    <row r="2">
      <c r="B2" s="17" t="s">
        <v>37</v>
      </c>
      <c r="C2" s="17" t="s">
        <v>38</v>
      </c>
      <c r="E2" s="17" t="s">
        <v>39</v>
      </c>
      <c r="F2" s="17" t="s">
        <v>40</v>
      </c>
      <c r="H2" s="47" t="s">
        <v>41</v>
      </c>
      <c r="I2" s="6"/>
      <c r="J2" s="17" t="s">
        <v>42</v>
      </c>
      <c r="K2" s="17" t="s">
        <v>43</v>
      </c>
      <c r="L2" s="17" t="s">
        <v>44</v>
      </c>
      <c r="N2" s="47" t="s">
        <v>45</v>
      </c>
      <c r="O2" s="47" t="s">
        <v>46</v>
      </c>
      <c r="P2" s="47" t="s">
        <v>47</v>
      </c>
      <c r="R2" s="49" t="s">
        <v>48</v>
      </c>
      <c r="S2" s="25" t="s">
        <v>49</v>
      </c>
      <c r="T2" s="25" t="s">
        <v>50</v>
      </c>
    </row>
    <row r="3">
      <c r="A3" s="25" t="s">
        <v>51</v>
      </c>
      <c r="B3" s="25">
        <v>30.0</v>
      </c>
      <c r="C3" s="25">
        <v>0.212346087</v>
      </c>
      <c r="E3" s="25">
        <v>10.0</v>
      </c>
      <c r="F3" s="25">
        <v>24.95</v>
      </c>
      <c r="H3" s="28"/>
      <c r="J3" s="28"/>
      <c r="K3" s="28"/>
      <c r="L3" s="28"/>
      <c r="N3" s="25">
        <v>1.0</v>
      </c>
      <c r="O3" s="25">
        <v>131.24</v>
      </c>
      <c r="P3" s="25">
        <v>151.03</v>
      </c>
      <c r="R3" s="50"/>
      <c r="S3" s="25" t="s">
        <v>52</v>
      </c>
      <c r="T3" s="25" t="s">
        <v>50</v>
      </c>
    </row>
    <row r="4">
      <c r="A4" s="25" t="s">
        <v>53</v>
      </c>
      <c r="B4" s="25">
        <v>33.0</v>
      </c>
      <c r="C4" s="25">
        <v>0.250176882</v>
      </c>
      <c r="E4" s="25">
        <v>8.98</v>
      </c>
      <c r="F4" s="25">
        <v>22.39</v>
      </c>
      <c r="H4" s="25">
        <f>sum(C3:C4)</f>
        <v>0.462522969</v>
      </c>
      <c r="I4" s="6"/>
      <c r="J4" s="25">
        <v>18.94</v>
      </c>
      <c r="K4" s="25">
        <v>47.34</v>
      </c>
      <c r="L4" s="25">
        <v>136.5</v>
      </c>
      <c r="N4" s="25">
        <v>2.0</v>
      </c>
      <c r="O4" s="25">
        <v>121.79</v>
      </c>
      <c r="P4" s="25">
        <v>140.09</v>
      </c>
      <c r="R4" s="50"/>
      <c r="S4" s="25" t="s">
        <v>54</v>
      </c>
      <c r="T4" s="25" t="s">
        <v>50</v>
      </c>
    </row>
    <row r="5">
      <c r="R5" s="50"/>
      <c r="S5" s="25" t="s">
        <v>55</v>
      </c>
      <c r="T5" s="25" t="s">
        <v>50</v>
      </c>
    </row>
    <row r="6">
      <c r="R6" s="31"/>
      <c r="S6" s="25" t="s">
        <v>56</v>
      </c>
      <c r="T6" s="25" t="s">
        <v>50</v>
      </c>
    </row>
    <row r="8">
      <c r="R8" s="49" t="s">
        <v>57</v>
      </c>
      <c r="S8" s="25" t="s">
        <v>58</v>
      </c>
      <c r="T8" s="25" t="s">
        <v>59</v>
      </c>
    </row>
    <row r="9">
      <c r="R9" s="50"/>
      <c r="S9" s="25" t="s">
        <v>60</v>
      </c>
      <c r="T9" s="25" t="s">
        <v>59</v>
      </c>
    </row>
    <row r="10">
      <c r="R10" s="50"/>
      <c r="S10" s="25" t="s">
        <v>55</v>
      </c>
      <c r="T10" s="25" t="s">
        <v>61</v>
      </c>
    </row>
    <row r="11">
      <c r="R11" s="50"/>
      <c r="S11" s="51" t="s">
        <v>62</v>
      </c>
      <c r="T11" s="25" t="s">
        <v>59</v>
      </c>
    </row>
    <row r="12">
      <c r="R12" s="31"/>
      <c r="S12" s="25" t="s">
        <v>56</v>
      </c>
      <c r="T12" s="25" t="s">
        <v>63</v>
      </c>
    </row>
    <row r="14">
      <c r="R14" s="46" t="s">
        <v>64</v>
      </c>
      <c r="S14" s="23"/>
    </row>
    <row r="15">
      <c r="A15" s="25" t="s">
        <v>65</v>
      </c>
      <c r="B15" s="25">
        <v>11.15</v>
      </c>
      <c r="C15" s="25">
        <v>0.08734828</v>
      </c>
      <c r="E15" s="28"/>
      <c r="F15" s="28"/>
      <c r="H15" s="25">
        <v>0.462379404</v>
      </c>
      <c r="J15" s="25">
        <v>18.94</v>
      </c>
      <c r="K15" s="25">
        <v>47.34</v>
      </c>
      <c r="L15" s="25">
        <v>136.5</v>
      </c>
      <c r="N15" s="25">
        <v>3.0</v>
      </c>
      <c r="O15" s="25">
        <v>114.69</v>
      </c>
      <c r="P15" s="25">
        <v>132.03</v>
      </c>
      <c r="R15" s="52" t="s">
        <v>66</v>
      </c>
      <c r="S15" s="25" t="s">
        <v>67</v>
      </c>
    </row>
    <row r="16">
      <c r="R16" s="31"/>
      <c r="S16" s="25" t="s">
        <v>68</v>
      </c>
    </row>
    <row r="17">
      <c r="R17" s="53" t="s">
        <v>16</v>
      </c>
      <c r="S17" s="25" t="s">
        <v>69</v>
      </c>
    </row>
    <row r="18">
      <c r="R18" s="31"/>
      <c r="S18" s="25" t="s">
        <v>70</v>
      </c>
    </row>
    <row r="19">
      <c r="R19" s="17" t="s">
        <v>71</v>
      </c>
      <c r="S19" s="28">
        <f>(H15-H4)</f>
        <v>-0.000143565</v>
      </c>
    </row>
    <row r="21">
      <c r="A21" s="25" t="s">
        <v>72</v>
      </c>
      <c r="B21" s="28"/>
      <c r="C21" s="28"/>
      <c r="E21" s="28"/>
      <c r="F21" s="28"/>
      <c r="H21" s="25">
        <v>0.819664272</v>
      </c>
      <c r="J21" s="28"/>
      <c r="K21" s="28"/>
      <c r="L21" s="28"/>
      <c r="N21" s="28"/>
      <c r="O21" s="28"/>
      <c r="P21" s="28"/>
      <c r="R21" s="53" t="s">
        <v>73</v>
      </c>
      <c r="S21" s="25" t="s">
        <v>74</v>
      </c>
    </row>
    <row r="22">
      <c r="R22" s="31"/>
      <c r="S22" s="25" t="s">
        <v>75</v>
      </c>
    </row>
    <row r="23">
      <c r="R23" s="17" t="s">
        <v>60</v>
      </c>
      <c r="S23" s="25" t="s">
        <v>76</v>
      </c>
    </row>
    <row r="24">
      <c r="A24" s="25" t="s">
        <v>77</v>
      </c>
      <c r="B24" s="28"/>
      <c r="C24" s="28"/>
      <c r="E24" s="28"/>
      <c r="F24" s="28"/>
      <c r="H24" s="25">
        <v>0.017519992</v>
      </c>
      <c r="J24" s="28"/>
      <c r="K24" s="28"/>
      <c r="L24" s="28"/>
      <c r="N24" s="28"/>
      <c r="O24" s="28"/>
      <c r="P24" s="28"/>
      <c r="R24" s="17" t="s">
        <v>78</v>
      </c>
      <c r="S24" s="25" t="s">
        <v>79</v>
      </c>
    </row>
    <row r="25">
      <c r="R25" s="17" t="s">
        <v>80</v>
      </c>
      <c r="S25" s="25" t="s">
        <v>81</v>
      </c>
    </row>
    <row r="26">
      <c r="R26" s="17" t="s">
        <v>82</v>
      </c>
      <c r="S26" s="25" t="s">
        <v>83</v>
      </c>
    </row>
    <row r="28">
      <c r="R28" s="46" t="s">
        <v>35</v>
      </c>
      <c r="S28" s="23"/>
      <c r="T28" s="47" t="s">
        <v>36</v>
      </c>
    </row>
    <row r="29">
      <c r="R29" s="49" t="s">
        <v>84</v>
      </c>
      <c r="S29" s="25" t="s">
        <v>85</v>
      </c>
      <c r="T29" s="25"/>
    </row>
    <row r="30">
      <c r="R30" s="50"/>
      <c r="S30" s="25" t="s">
        <v>86</v>
      </c>
      <c r="T30" s="25"/>
    </row>
    <row r="31">
      <c r="R31" s="50"/>
      <c r="S31" s="25" t="s">
        <v>87</v>
      </c>
      <c r="T31" s="25"/>
    </row>
    <row r="32">
      <c r="R32" s="50"/>
      <c r="S32" s="25" t="s">
        <v>55</v>
      </c>
      <c r="T32" s="25"/>
    </row>
    <row r="33">
      <c r="R33" s="31"/>
      <c r="S33" s="25" t="s">
        <v>54</v>
      </c>
      <c r="T33" s="25"/>
    </row>
    <row r="34">
      <c r="S34" s="6"/>
    </row>
    <row r="35">
      <c r="R35" s="49" t="s">
        <v>88</v>
      </c>
      <c r="S35" s="25" t="s">
        <v>85</v>
      </c>
      <c r="T35" s="25"/>
    </row>
    <row r="36">
      <c r="R36" s="50"/>
      <c r="S36" s="25" t="s">
        <v>86</v>
      </c>
      <c r="T36" s="25"/>
    </row>
    <row r="37">
      <c r="R37" s="50"/>
      <c r="S37" s="25" t="s">
        <v>87</v>
      </c>
      <c r="T37" s="25"/>
    </row>
    <row r="38">
      <c r="R38" s="50"/>
      <c r="S38" s="25" t="s">
        <v>89</v>
      </c>
      <c r="T38" s="25"/>
    </row>
    <row r="39">
      <c r="R39" s="31"/>
      <c r="S39" s="25" t="s">
        <v>90</v>
      </c>
      <c r="T39" s="25"/>
    </row>
    <row r="41">
      <c r="R41" s="49" t="s">
        <v>91</v>
      </c>
      <c r="S41" s="25" t="s">
        <v>92</v>
      </c>
      <c r="T41" s="25"/>
    </row>
    <row r="42">
      <c r="R42" s="50"/>
      <c r="S42" s="25" t="s">
        <v>52</v>
      </c>
      <c r="T42" s="25"/>
    </row>
    <row r="43">
      <c r="R43" s="50"/>
      <c r="S43" s="25" t="s">
        <v>55</v>
      </c>
      <c r="T43" s="25"/>
    </row>
    <row r="44">
      <c r="R44" s="50"/>
      <c r="S44" s="51" t="s">
        <v>62</v>
      </c>
      <c r="T44" s="25"/>
    </row>
    <row r="45">
      <c r="R45" s="31"/>
      <c r="S45" s="25" t="s">
        <v>56</v>
      </c>
      <c r="T45" s="25"/>
    </row>
  </sheetData>
  <mergeCells count="16">
    <mergeCell ref="A1:A2"/>
    <mergeCell ref="B1:C1"/>
    <mergeCell ref="E1:F1"/>
    <mergeCell ref="J1:L1"/>
    <mergeCell ref="N1:P1"/>
    <mergeCell ref="R1:S1"/>
    <mergeCell ref="R2:R6"/>
    <mergeCell ref="R35:R39"/>
    <mergeCell ref="R41:R45"/>
    <mergeCell ref="R8:R12"/>
    <mergeCell ref="R14:S14"/>
    <mergeCell ref="R15:R16"/>
    <mergeCell ref="R17:R18"/>
    <mergeCell ref="R21:R22"/>
    <mergeCell ref="R28:S28"/>
    <mergeCell ref="R29:R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6" t="s">
        <v>93</v>
      </c>
      <c r="B1" s="54">
        <v>0.07</v>
      </c>
    </row>
    <row r="2">
      <c r="A2" s="6"/>
    </row>
    <row r="3">
      <c r="A3" s="6" t="s">
        <v>94</v>
      </c>
      <c r="B3" s="55">
        <v>122.0</v>
      </c>
    </row>
    <row r="4">
      <c r="A4" s="6" t="s">
        <v>46</v>
      </c>
      <c r="B4" s="56">
        <f>(B3-(B1*B3))</f>
        <v>113.46</v>
      </c>
    </row>
    <row r="5">
      <c r="A5" s="6" t="s">
        <v>47</v>
      </c>
      <c r="B5" s="56">
        <f>(B3+(B1*B3))</f>
        <v>130.54</v>
      </c>
    </row>
    <row r="7">
      <c r="A7" s="6" t="s">
        <v>95</v>
      </c>
      <c r="B7" s="55">
        <v>132.0</v>
      </c>
    </row>
    <row r="8">
      <c r="A8" s="6" t="s">
        <v>96</v>
      </c>
      <c r="B8" s="56">
        <f>(B7/(1+B1))</f>
        <v>123.364486</v>
      </c>
    </row>
    <row r="9">
      <c r="A9" s="6" t="s">
        <v>46</v>
      </c>
      <c r="B9" s="56">
        <f>(B8-(B1*B8))</f>
        <v>114.728972</v>
      </c>
    </row>
    <row r="11">
      <c r="A11" s="6" t="s">
        <v>97</v>
      </c>
      <c r="B11" s="55">
        <v>113.46</v>
      </c>
    </row>
    <row r="12">
      <c r="A12" s="6" t="s">
        <v>96</v>
      </c>
      <c r="B12" s="56">
        <f>(B11/(1-B1))</f>
        <v>122</v>
      </c>
    </row>
    <row r="13">
      <c r="A13" s="6" t="s">
        <v>47</v>
      </c>
      <c r="B13" s="56">
        <f>(B12+(B1*B12))</f>
        <v>130.54</v>
      </c>
    </row>
  </sheetData>
  <drawing r:id="rId1"/>
</worksheet>
</file>