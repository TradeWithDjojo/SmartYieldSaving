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TradeWithDjojo\SmartYieldSaving\tools\"/>
    </mc:Choice>
  </mc:AlternateContent>
  <xr:revisionPtr revIDLastSave="0" documentId="13_ncr:1_{EBB84AC4-1755-4F68-BA33-FEB9356415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ase 1" sheetId="1" r:id="rId1"/>
    <sheet name="Phase 2" sheetId="2" r:id="rId2"/>
    <sheet name="Notes &amp; Phase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G5" i="2"/>
  <c r="F5" i="2"/>
  <c r="E5" i="2"/>
  <c r="G4" i="2"/>
  <c r="F4" i="2"/>
  <c r="E4" i="2"/>
  <c r="C17" i="1"/>
  <c r="C14" i="1"/>
  <c r="D10" i="1"/>
  <c r="C15" i="1" s="1"/>
  <c r="D9" i="1"/>
  <c r="B13" i="1" s="1"/>
  <c r="C6" i="1"/>
  <c r="C5" i="1"/>
  <c r="C4" i="1"/>
  <c r="C3" i="1"/>
</calcChain>
</file>

<file path=xl/sharedStrings.xml><?xml version="1.0" encoding="utf-8"?>
<sst xmlns="http://schemas.openxmlformats.org/spreadsheetml/2006/main" count="66" uniqueCount="59">
  <si>
    <t>Perp Leverage</t>
  </si>
  <si>
    <t>Buffer (for gas fee)</t>
  </si>
  <si>
    <t>Input or Change These Values &gt;&gt;&gt;</t>
  </si>
  <si>
    <t>Orca Pool SOL portion</t>
  </si>
  <si>
    <t>Jup Short Perpetual</t>
  </si>
  <si>
    <t>Max Notional Value</t>
  </si>
  <si>
    <t>SOL Spot</t>
  </si>
  <si>
    <t>Buy Amount</t>
  </si>
  <si>
    <t>Buffer Reserve</t>
  </si>
  <si>
    <t>Phase 1</t>
  </si>
  <si>
    <t>USDC</t>
  </si>
  <si>
    <t>Steps</t>
  </si>
  <si>
    <t>Swap USDC to SOL</t>
  </si>
  <si>
    <t>Open Short Perpetual</t>
  </si>
  <si>
    <t>Set Leverage to</t>
  </si>
  <si>
    <t>Input You're Paying</t>
  </si>
  <si>
    <t>Create New Pool</t>
  </si>
  <si>
    <t>Set Custom %</t>
  </si>
  <si>
    <t>Input Deposit</t>
  </si>
  <si>
    <t>Short Perp Collateral Amount</t>
  </si>
  <si>
    <t>SOL Spot 
Buy Amount</t>
  </si>
  <si>
    <t>Short</t>
  </si>
  <si>
    <t>Spot</t>
  </si>
  <si>
    <t>Need USDC</t>
  </si>
  <si>
    <t>UP</t>
  </si>
  <si>
    <t>DOWN</t>
  </si>
  <si>
    <t>Date</t>
  </si>
  <si>
    <t>Open Short Perp</t>
  </si>
  <si>
    <t>SOL Hold</t>
  </si>
  <si>
    <t>Short Position</t>
  </si>
  <si>
    <t>Orca Pool</t>
  </si>
  <si>
    <t>TODO (Phase 3)</t>
  </si>
  <si>
    <t>Checklist</t>
  </si>
  <si>
    <t>USDC (Sell)</t>
  </si>
  <si>
    <t>SOL (Buy)</t>
  </si>
  <si>
    <t>USDC (Collateral)</t>
  </si>
  <si>
    <t>Size (Notional)</t>
  </si>
  <si>
    <t>Total</t>
  </si>
  <si>
    <t>Total Collateral</t>
  </si>
  <si>
    <t>Size (Total)</t>
  </si>
  <si>
    <t>Entry (Average)</t>
  </si>
  <si>
    <t>#</t>
  </si>
  <si>
    <t>Min Price</t>
  </si>
  <si>
    <t>Max Price</t>
  </si>
  <si>
    <t>If SOL &gt;= 150</t>
  </si>
  <si>
    <t>Harvest 2nd Pool</t>
  </si>
  <si>
    <t>11/19/2025, 8:25:24 AM</t>
  </si>
  <si>
    <t>WD 2nd Pool</t>
  </si>
  <si>
    <t>11/21/2025, 9:52:41 AM</t>
  </si>
  <si>
    <t>Sell SOL</t>
  </si>
  <si>
    <t>Close Short</t>
  </si>
  <si>
    <t>Redo Phase 1</t>
  </si>
  <si>
    <t>If SOL &lt;= 122</t>
  </si>
  <si>
    <t>Haverst 1st Pool</t>
  </si>
  <si>
    <t>WD 1st Pool</t>
  </si>
  <si>
    <t>Supply SOL - Borrow USDC</t>
  </si>
  <si>
    <t>Spot SOL Acquisition 
(Swap the following amount to SOL via Jupiter)</t>
  </si>
  <si>
    <t>Jupiter Short Perpetual Collateral Amount 
(Input "You're Paying" field)</t>
  </si>
  <si>
    <t>Orca Pool - 
Total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</si>
</sst>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1"/>
      <color theme="1"/>
      <name val="Arial"/>
      <scheme val="minor"/>
    </font>
    <font>
      <sz val="10"/>
      <name val="Arial"/>
    </font>
    <font>
      <b/>
      <sz val="9"/>
      <color theme="1"/>
      <name val="Arial"/>
      <family val="2"/>
    </font>
    <font>
      <b/>
      <sz val="12"/>
      <color rgb="FF000000"/>
      <name val="Arial"/>
      <family val="2"/>
      <scheme val="minor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0" fontId="2" fillId="0" borderId="1" xfId="0" applyFont="1" applyBorder="1"/>
    <xf numFmtId="10" fontId="2" fillId="2" borderId="1" xfId="0" applyNumberFormat="1" applyFont="1" applyFill="1" applyBorder="1"/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3" fillId="0" borderId="1" xfId="0" applyFont="1" applyBorder="1"/>
    <xf numFmtId="0" fontId="6" fillId="0" borderId="0" xfId="0" applyFont="1"/>
    <xf numFmtId="0" fontId="4" fillId="0" borderId="1" xfId="0" applyFont="1" applyBorder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0" fontId="7" fillId="0" borderId="3" xfId="0" applyFont="1" applyBorder="1"/>
    <xf numFmtId="0" fontId="7" fillId="0" borderId="4" xfId="0" applyFont="1" applyBorder="1"/>
    <xf numFmtId="0" fontId="3" fillId="0" borderId="5" xfId="0" applyFont="1" applyBorder="1" applyAlignment="1">
      <alignment vertical="center"/>
    </xf>
    <xf numFmtId="0" fontId="7" fillId="0" borderId="6" xfId="0" applyFont="1" applyBorder="1"/>
    <xf numFmtId="0" fontId="5" fillId="0" borderId="0" xfId="0" applyFont="1" applyAlignment="1">
      <alignment horizontal="right"/>
    </xf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vertical="top"/>
    </xf>
    <xf numFmtId="0" fontId="7" fillId="0" borderId="7" xfId="0" applyFont="1" applyBorder="1"/>
    <xf numFmtId="0" fontId="8" fillId="2" borderId="1" xfId="0" applyFont="1" applyFill="1" applyBorder="1" applyAlignment="1">
      <alignment wrapText="1"/>
    </xf>
    <xf numFmtId="0" fontId="9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"/>
  <sheetViews>
    <sheetView tabSelected="1" workbookViewId="0">
      <selection activeCell="C2" sqref="C2"/>
    </sheetView>
  </sheetViews>
  <sheetFormatPr defaultColWidth="12.5703125" defaultRowHeight="15.75" customHeight="1" x14ac:dyDescent="0.2"/>
  <cols>
    <col min="1" max="1" width="21.85546875" bestFit="1" customWidth="1"/>
    <col min="2" max="2" width="19.140625" bestFit="1" customWidth="1"/>
    <col min="3" max="3" width="16.140625" customWidth="1"/>
    <col min="4" max="4" width="14.5703125" bestFit="1" customWidth="1"/>
    <col min="5" max="5" width="18" bestFit="1" customWidth="1"/>
  </cols>
  <sheetData>
    <row r="1" spans="1:8" ht="33" customHeight="1" x14ac:dyDescent="0.2">
      <c r="A1" s="1"/>
      <c r="B1" s="1"/>
      <c r="C1" s="43" t="s">
        <v>58</v>
      </c>
      <c r="D1" s="3" t="s">
        <v>0</v>
      </c>
      <c r="E1" s="3" t="s">
        <v>1</v>
      </c>
      <c r="H1" s="4"/>
    </row>
    <row r="2" spans="1:8" ht="12.75" x14ac:dyDescent="0.2">
      <c r="A2" s="27" t="s">
        <v>2</v>
      </c>
      <c r="B2" s="28"/>
      <c r="C2" s="2">
        <v>50</v>
      </c>
      <c r="D2" s="3">
        <v>2.5</v>
      </c>
      <c r="E2" s="3">
        <v>0.5</v>
      </c>
      <c r="H2" s="4"/>
    </row>
    <row r="3" spans="1:8" ht="12.75" x14ac:dyDescent="0.2">
      <c r="A3" s="5" t="s">
        <v>3</v>
      </c>
      <c r="B3" s="6">
        <v>0.5</v>
      </c>
      <c r="C3" s="44">
        <f>(B3*C2)</f>
        <v>25</v>
      </c>
      <c r="H3" s="4"/>
    </row>
    <row r="4" spans="1:8" ht="12.75" x14ac:dyDescent="0.2">
      <c r="A4" s="5" t="s">
        <v>4</v>
      </c>
      <c r="B4" s="5" t="s">
        <v>5</v>
      </c>
      <c r="C4" s="45">
        <f>(0.5*(0.5*C2))</f>
        <v>12.5</v>
      </c>
      <c r="H4" s="4"/>
    </row>
    <row r="5" spans="1:8" ht="12.75" x14ac:dyDescent="0.2">
      <c r="A5" s="9" t="s">
        <v>6</v>
      </c>
      <c r="B5" s="9" t="s">
        <v>7</v>
      </c>
      <c r="C5" s="46">
        <f>(3*C4)</f>
        <v>37.5</v>
      </c>
    </row>
    <row r="6" spans="1:8" ht="12.75" x14ac:dyDescent="0.2">
      <c r="A6" s="9" t="s">
        <v>8</v>
      </c>
      <c r="B6" s="9"/>
      <c r="C6" s="46">
        <f>E2</f>
        <v>0.5</v>
      </c>
    </row>
    <row r="8" spans="1:8" ht="15.75" customHeight="1" x14ac:dyDescent="0.25">
      <c r="A8" s="10" t="s">
        <v>9</v>
      </c>
    </row>
    <row r="9" spans="1:8" ht="36" customHeight="1" x14ac:dyDescent="0.2">
      <c r="A9" s="34" t="s">
        <v>56</v>
      </c>
      <c r="B9" s="35"/>
      <c r="C9" s="36"/>
      <c r="D9" s="40">
        <f>SUM(C3,C5,C6)</f>
        <v>63</v>
      </c>
      <c r="E9" s="42" t="s">
        <v>10</v>
      </c>
    </row>
    <row r="10" spans="1:8" ht="34.5" customHeight="1" x14ac:dyDescent="0.2">
      <c r="A10" s="37" t="s">
        <v>57</v>
      </c>
      <c r="B10" s="38"/>
      <c r="C10" s="39"/>
      <c r="D10" s="41">
        <f>(C4/D2)</f>
        <v>5</v>
      </c>
      <c r="E10" s="42" t="s">
        <v>10</v>
      </c>
    </row>
    <row r="12" spans="1:8" ht="15.75" customHeight="1" x14ac:dyDescent="0.25">
      <c r="A12" s="10" t="s">
        <v>11</v>
      </c>
    </row>
    <row r="13" spans="1:8" ht="12.75" x14ac:dyDescent="0.2">
      <c r="A13" s="9" t="s">
        <v>12</v>
      </c>
      <c r="B13" s="40">
        <f>D9</f>
        <v>63</v>
      </c>
    </row>
    <row r="14" spans="1:8" ht="12.75" x14ac:dyDescent="0.2">
      <c r="A14" s="25" t="s">
        <v>13</v>
      </c>
      <c r="B14" s="9" t="s">
        <v>14</v>
      </c>
      <c r="C14" s="41">
        <f>D2</f>
        <v>2.5</v>
      </c>
    </row>
    <row r="15" spans="1:8" ht="12.75" x14ac:dyDescent="0.2">
      <c r="A15" s="26"/>
      <c r="B15" s="9" t="s">
        <v>15</v>
      </c>
      <c r="C15" s="41">
        <f>D10</f>
        <v>5</v>
      </c>
    </row>
    <row r="16" spans="1:8" ht="12.75" x14ac:dyDescent="0.2">
      <c r="A16" s="25" t="s">
        <v>16</v>
      </c>
      <c r="B16" s="9" t="s">
        <v>17</v>
      </c>
      <c r="C16" s="47">
        <v>7</v>
      </c>
    </row>
    <row r="17" spans="1:3" ht="12.75" x14ac:dyDescent="0.2">
      <c r="A17" s="26"/>
      <c r="B17" s="9" t="s">
        <v>18</v>
      </c>
      <c r="C17" s="47">
        <f>C2</f>
        <v>50</v>
      </c>
    </row>
  </sheetData>
  <mergeCells count="5">
    <mergeCell ref="A9:C9"/>
    <mergeCell ref="A14:A15"/>
    <mergeCell ref="A16:A17"/>
    <mergeCell ref="A2:B2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"/>
  <sheetViews>
    <sheetView workbookViewId="0">
      <selection activeCell="E2" sqref="E2"/>
    </sheetView>
  </sheetViews>
  <sheetFormatPr defaultColWidth="12.5703125" defaultRowHeight="15.75" customHeight="1" x14ac:dyDescent="0.2"/>
  <cols>
    <col min="4" max="4" width="1.85546875" customWidth="1"/>
    <col min="5" max="5" width="15.42578125" customWidth="1"/>
    <col min="8" max="8" width="2.28515625" customWidth="1"/>
    <col min="9" max="9" width="21.42578125" customWidth="1"/>
  </cols>
  <sheetData>
    <row r="1" spans="1:10" ht="36" x14ac:dyDescent="0.2">
      <c r="A1" s="1"/>
      <c r="B1" s="1"/>
      <c r="C1" s="1"/>
      <c r="D1" s="1"/>
      <c r="E1" s="33" t="s">
        <v>19</v>
      </c>
      <c r="F1" s="33" t="s">
        <v>20</v>
      </c>
      <c r="G1" s="1"/>
      <c r="H1" s="1"/>
      <c r="I1" s="12"/>
      <c r="J1" s="13"/>
    </row>
    <row r="2" spans="1:10" x14ac:dyDescent="0.2">
      <c r="A2" s="27" t="s">
        <v>2</v>
      </c>
      <c r="B2" s="28"/>
      <c r="C2" s="28"/>
      <c r="D2" s="28"/>
      <c r="E2" s="14">
        <v>9.98</v>
      </c>
      <c r="F2" s="14">
        <v>30</v>
      </c>
      <c r="G2" s="1"/>
      <c r="H2" s="1"/>
      <c r="I2" s="15"/>
      <c r="J2" s="4"/>
    </row>
    <row r="3" spans="1:10" x14ac:dyDescent="0.2">
      <c r="A3" s="1"/>
      <c r="B3" s="16" t="s">
        <v>21</v>
      </c>
      <c r="C3" s="16" t="s">
        <v>22</v>
      </c>
      <c r="D3" s="1"/>
      <c r="E3" s="16" t="s">
        <v>21</v>
      </c>
      <c r="F3" s="16" t="s">
        <v>22</v>
      </c>
      <c r="G3" s="16" t="s">
        <v>23</v>
      </c>
      <c r="H3" s="1"/>
      <c r="I3" s="17"/>
    </row>
    <row r="4" spans="1:10" x14ac:dyDescent="0.2">
      <c r="A4" s="5" t="s">
        <v>24</v>
      </c>
      <c r="B4" s="18">
        <v>1.1000000000000001</v>
      </c>
      <c r="C4" s="18">
        <v>0.9</v>
      </c>
      <c r="D4" s="1"/>
      <c r="E4" s="8">
        <f t="shared" ref="E4:F4" si="0">(E2*B4)</f>
        <v>10.978000000000002</v>
      </c>
      <c r="F4" s="19">
        <f t="shared" si="0"/>
        <v>27</v>
      </c>
      <c r="G4" s="7">
        <f t="shared" ref="G4:G5" si="1">SUM(E4:F4)</f>
        <v>37.978000000000002</v>
      </c>
      <c r="H4" s="1"/>
      <c r="I4" s="15"/>
      <c r="J4" s="4"/>
    </row>
    <row r="5" spans="1:10" x14ac:dyDescent="0.2">
      <c r="A5" s="5" t="s">
        <v>25</v>
      </c>
      <c r="B5" s="18">
        <v>0.9</v>
      </c>
      <c r="C5" s="18">
        <v>1.1000000000000001</v>
      </c>
      <c r="D5" s="1"/>
      <c r="E5" s="8">
        <f t="shared" ref="E5:F5" si="2">(E2*B5)</f>
        <v>8.9820000000000011</v>
      </c>
      <c r="F5" s="19">
        <f t="shared" si="2"/>
        <v>33</v>
      </c>
      <c r="G5" s="7">
        <f t="shared" si="1"/>
        <v>41.981999999999999</v>
      </c>
      <c r="H5" s="1"/>
      <c r="I5" s="15"/>
      <c r="J5" s="4"/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2"/>
  <sheetViews>
    <sheetView workbookViewId="0">
      <selection sqref="A1:A2"/>
    </sheetView>
  </sheetViews>
  <sheetFormatPr defaultColWidth="12.5703125" defaultRowHeight="15.75" customHeight="1" x14ac:dyDescent="0.2"/>
  <cols>
    <col min="1" max="1" width="21.140625" bestFit="1" customWidth="1"/>
    <col min="2" max="2" width="11.28515625" customWidth="1"/>
    <col min="3" max="3" width="13.42578125" customWidth="1"/>
    <col min="4" max="4" width="2.140625" customWidth="1"/>
    <col min="5" max="5" width="14.42578125" customWidth="1"/>
    <col min="6" max="6" width="14.42578125" bestFit="1" customWidth="1"/>
    <col min="7" max="7" width="2.5703125" customWidth="1"/>
    <col min="9" max="9" width="2.42578125" customWidth="1"/>
    <col min="10" max="10" width="15.140625" bestFit="1" customWidth="1"/>
    <col min="12" max="12" width="15" bestFit="1" customWidth="1"/>
    <col min="13" max="13" width="2.5703125" customWidth="1"/>
    <col min="14" max="14" width="4.85546875" customWidth="1"/>
    <col min="17" max="17" width="2.7109375" customWidth="1"/>
    <col min="19" max="19" width="15.42578125" customWidth="1"/>
  </cols>
  <sheetData>
    <row r="1" spans="1:20" x14ac:dyDescent="0.2">
      <c r="A1" s="30" t="s">
        <v>26</v>
      </c>
      <c r="B1" s="29" t="s">
        <v>12</v>
      </c>
      <c r="C1" s="24"/>
      <c r="E1" s="29" t="s">
        <v>27</v>
      </c>
      <c r="F1" s="24"/>
      <c r="H1" s="20" t="s">
        <v>28</v>
      </c>
      <c r="I1" s="21"/>
      <c r="J1" s="29" t="s">
        <v>29</v>
      </c>
      <c r="K1" s="23"/>
      <c r="L1" s="24"/>
      <c r="N1" s="29" t="s">
        <v>30</v>
      </c>
      <c r="O1" s="23"/>
      <c r="P1" s="24"/>
      <c r="R1" s="29" t="s">
        <v>31</v>
      </c>
      <c r="S1" s="24"/>
      <c r="T1" s="20" t="s">
        <v>32</v>
      </c>
    </row>
    <row r="2" spans="1:20" x14ac:dyDescent="0.2">
      <c r="A2" s="28"/>
      <c r="B2" s="9" t="s">
        <v>33</v>
      </c>
      <c r="C2" s="9" t="s">
        <v>34</v>
      </c>
      <c r="E2" s="9" t="s">
        <v>35</v>
      </c>
      <c r="F2" s="9" t="s">
        <v>36</v>
      </c>
      <c r="H2" s="20" t="s">
        <v>37</v>
      </c>
      <c r="I2" s="4"/>
      <c r="J2" s="9" t="s">
        <v>38</v>
      </c>
      <c r="K2" s="9" t="s">
        <v>39</v>
      </c>
      <c r="L2" s="9" t="s">
        <v>40</v>
      </c>
      <c r="N2" s="20" t="s">
        <v>41</v>
      </c>
      <c r="O2" s="20" t="s">
        <v>42</v>
      </c>
      <c r="P2" s="20" t="s">
        <v>43</v>
      </c>
      <c r="R2" s="31" t="s">
        <v>44</v>
      </c>
      <c r="S2" s="11" t="s">
        <v>45</v>
      </c>
      <c r="T2" s="11"/>
    </row>
    <row r="3" spans="1:20" x14ac:dyDescent="0.2">
      <c r="A3" s="11" t="s">
        <v>46</v>
      </c>
      <c r="B3" s="11">
        <v>30</v>
      </c>
      <c r="C3" s="11">
        <v>0.21234608699999999</v>
      </c>
      <c r="E3" s="11">
        <v>10</v>
      </c>
      <c r="F3" s="11">
        <v>24.95</v>
      </c>
      <c r="H3" s="11"/>
      <c r="J3" s="11"/>
      <c r="K3" s="11"/>
      <c r="L3" s="11"/>
      <c r="N3" s="11">
        <v>1</v>
      </c>
      <c r="O3" s="11">
        <v>131.24</v>
      </c>
      <c r="P3" s="11">
        <v>151.03</v>
      </c>
      <c r="R3" s="32"/>
      <c r="S3" s="11" t="s">
        <v>47</v>
      </c>
      <c r="T3" s="11"/>
    </row>
    <row r="4" spans="1:20" x14ac:dyDescent="0.2">
      <c r="A4" s="11" t="s">
        <v>48</v>
      </c>
      <c r="B4" s="11">
        <v>33</v>
      </c>
      <c r="C4" s="11">
        <v>0.25017688199999999</v>
      </c>
      <c r="E4" s="11">
        <v>8.98</v>
      </c>
      <c r="F4" s="11">
        <v>22.39</v>
      </c>
      <c r="H4" s="11">
        <f>SUM(C3:C4)</f>
        <v>0.46252296900000001</v>
      </c>
      <c r="I4" s="4"/>
      <c r="J4" s="11">
        <v>18.940000000000001</v>
      </c>
      <c r="K4" s="11">
        <v>47.34</v>
      </c>
      <c r="L4" s="11">
        <v>136.5</v>
      </c>
      <c r="N4" s="11">
        <v>2</v>
      </c>
      <c r="O4" s="11">
        <v>121.79</v>
      </c>
      <c r="P4" s="11">
        <v>140.09</v>
      </c>
      <c r="R4" s="32"/>
      <c r="S4" s="11" t="s">
        <v>49</v>
      </c>
      <c r="T4" s="11"/>
    </row>
    <row r="5" spans="1:20" x14ac:dyDescent="0.2">
      <c r="R5" s="32"/>
      <c r="S5" s="11" t="s">
        <v>50</v>
      </c>
      <c r="T5" s="11"/>
    </row>
    <row r="6" spans="1:20" x14ac:dyDescent="0.2">
      <c r="R6" s="26"/>
      <c r="S6" s="11" t="s">
        <v>51</v>
      </c>
      <c r="T6" s="11"/>
    </row>
    <row r="8" spans="1:20" x14ac:dyDescent="0.2">
      <c r="R8" s="31" t="s">
        <v>52</v>
      </c>
      <c r="S8" s="11" t="s">
        <v>53</v>
      </c>
      <c r="T8" s="11"/>
    </row>
    <row r="9" spans="1:20" x14ac:dyDescent="0.2">
      <c r="R9" s="32"/>
      <c r="S9" s="11" t="s">
        <v>54</v>
      </c>
      <c r="T9" s="11"/>
    </row>
    <row r="10" spans="1:20" x14ac:dyDescent="0.2">
      <c r="R10" s="32"/>
      <c r="S10" s="11" t="s">
        <v>50</v>
      </c>
      <c r="T10" s="11"/>
    </row>
    <row r="11" spans="1:20" x14ac:dyDescent="0.2">
      <c r="R11" s="32"/>
      <c r="S11" s="22" t="s">
        <v>55</v>
      </c>
      <c r="T11" s="11"/>
    </row>
    <row r="12" spans="1:20" x14ac:dyDescent="0.2">
      <c r="R12" s="26"/>
      <c r="S12" s="11" t="s">
        <v>51</v>
      </c>
      <c r="T12" s="11"/>
    </row>
  </sheetData>
  <mergeCells count="8">
    <mergeCell ref="A1:A2"/>
    <mergeCell ref="R2:R6"/>
    <mergeCell ref="R8:R12"/>
    <mergeCell ref="B1:C1"/>
    <mergeCell ref="E1:F1"/>
    <mergeCell ref="J1:L1"/>
    <mergeCell ref="N1:P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Phase 1</vt:lpstr>
      <vt:lpstr>Phase 2</vt:lpstr>
      <vt:lpstr>Notes &amp; Phase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Budiman</cp:lastModifiedBy>
  <dcterms:modified xsi:type="dcterms:W3CDTF">2025-11-21T04:50:37Z</dcterms:modified>
</cp:coreProperties>
</file>